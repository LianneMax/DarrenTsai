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<sst xmlns="http://schemas.openxmlformats.org/spreadsheetml/2006/main" count="62" uniqueCount="55">
  <si>
    <t>⬇️START HERE ⬇️</t>
  </si>
  <si>
    <t>⬇️See if you Qualify ⬇️</t>
  </si>
  <si>
    <t>Fill in the Blue Cells. White Cells will update - DON'T CHANGE THE WHITE  CELLS</t>
  </si>
  <si>
    <t xml:space="preserve">Purchase Price </t>
  </si>
  <si>
    <t>If you have a W-2 Salary use this:</t>
  </si>
  <si>
    <t>Purchase Price</t>
  </si>
  <si>
    <t>Annual Salary:</t>
  </si>
  <si>
    <t>MonthlySalary:</t>
  </si>
  <si>
    <t>Down Payment (%)</t>
  </si>
  <si>
    <t>If you have two W-2 salary, put them both combined above</t>
  </si>
  <si>
    <t>Down Payment ($)</t>
  </si>
  <si>
    <t>Loan Amount</t>
  </si>
  <si>
    <t>If you have a Hourly Pay use this:</t>
  </si>
  <si>
    <t>If you have two Hourly pay use this</t>
  </si>
  <si>
    <t>FHA MIP (FHA only)</t>
  </si>
  <si>
    <t>Hourly Rate</t>
  </si>
  <si>
    <t>Total Loan Amount:</t>
  </si>
  <si>
    <t>Guaranteed Hours</t>
  </si>
  <si>
    <t>Annual Income:</t>
  </si>
  <si>
    <t xml:space="preserve">Estimated Monthly Payment </t>
  </si>
  <si>
    <t>Hourly Monthly Income</t>
  </si>
  <si>
    <t>This is an estimate. For a more accurate quote, talk to a licensed loan professional</t>
  </si>
  <si>
    <t>Total Hourly Monthly Income:</t>
  </si>
  <si>
    <t>** Talk to a licensed loan professional to verify this calculation **</t>
  </si>
  <si>
    <t>Interest Rate</t>
  </si>
  <si>
    <t>** Overtime and Hours may vary **
** Be ready to provide paystubs showing Year-To-Date income paid **</t>
  </si>
  <si>
    <t>Term (30 years x 12 months)</t>
  </si>
  <si>
    <t>Mortgage (Principal and Interest)</t>
  </si>
  <si>
    <t>INPUT ALL INCOME SOURCES</t>
  </si>
  <si>
    <t>Property Tax (ESTIMATED)</t>
  </si>
  <si>
    <t>ALL Monthly Salary:</t>
  </si>
  <si>
    <t>Mortgage Insurance (FHA)</t>
  </si>
  <si>
    <t>ALL Hourly Monthly Income</t>
  </si>
  <si>
    <t>Homeowner Insurance (Estimated)</t>
  </si>
  <si>
    <t>CHILD SUPPORT (If you recieve it)</t>
  </si>
  <si>
    <t>HOA (if you have it)</t>
  </si>
  <si>
    <t>Social Security or Pension</t>
  </si>
  <si>
    <t>Total Monthly Payment:</t>
  </si>
  <si>
    <t>ALL Monthly Income:</t>
  </si>
  <si>
    <t>Monthly Debts</t>
  </si>
  <si>
    <t>If you co-signed on debts for others, include them here</t>
  </si>
  <si>
    <t>Car Payment</t>
  </si>
  <si>
    <t>Student Loans</t>
  </si>
  <si>
    <t>Credit Card (Monthly Minimum)</t>
  </si>
  <si>
    <t>Personal Loan (Monthly Payment)</t>
  </si>
  <si>
    <t>Mortgage</t>
  </si>
  <si>
    <t>Child Support (if you owe it)</t>
  </si>
  <si>
    <t>Total Monthly debt:</t>
  </si>
  <si>
    <t>If you see PASS For both, you qualify!!</t>
  </si>
  <si>
    <t>Front End - Debt to Ratio (DTI) Pass:</t>
  </si>
  <si>
    <t>Back End - Debt to Ratio (DTI) Pass:</t>
  </si>
  <si>
    <t>Monthly Housing Expense:</t>
  </si>
  <si>
    <t>Total Monthly Income:</t>
  </si>
  <si>
    <t>Front-End Debt to Income Ratio</t>
  </si>
  <si>
    <t>Back-End Debt to Income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</si>
</sst>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8.0"/>
      <color theme="1"/>
      <name val="Arial"/>
      <scheme val="minor"/>
    </font>
    <font>
      <b/>
      <sz val="12.0"/>
      <color rgb="FFFF0000"/>
      <name val="Arial"/>
      <scheme val="minor"/>
    </font>
    <font>
      <b/>
      <sz val="12.0"/>
      <color rgb="FFFFFFFF"/>
      <name val="Arial"/>
      <scheme val="minor"/>
    </font>
    <font/>
    <font>
      <b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0" fillId="0" fontId="6" numFmtId="0" xfId="0" applyAlignment="1" applyFont="1">
      <alignment readingOrder="0"/>
    </xf>
    <xf borderId="0" fillId="4" fontId="6" numFmtId="164" xfId="0" applyAlignment="1" applyFill="1" applyFont="1" applyNumberFormat="1">
      <alignment readingOrder="0"/>
    </xf>
    <xf borderId="0" fillId="4" fontId="6" numFmtId="9" xfId="0" applyAlignment="1" applyFont="1" applyNumberFormat="1">
      <alignment readingOrder="0"/>
    </xf>
    <xf borderId="0" fillId="0" fontId="6" numFmtId="164" xfId="0" applyFont="1" applyNumberFormat="1"/>
    <xf borderId="0" fillId="4" fontId="6" numFmtId="1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4" fontId="1" numFmtId="164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3" fillId="0" fontId="1" numFmtId="0" xfId="0" applyAlignment="1" applyBorder="1" applyFont="1">
      <alignment readingOrder="0"/>
    </xf>
    <xf borderId="3" fillId="0" fontId="6" numFmtId="164" xfId="0" applyBorder="1" applyFont="1" applyNumberFormat="1"/>
    <xf borderId="3" fillId="5" fontId="4" numFmtId="10" xfId="0" applyBorder="1" applyFill="1" applyFont="1" applyNumberFormat="1"/>
    <xf borderId="3" fillId="5" fontId="4" numFmtId="164" xfId="0" applyBorder="1" applyFont="1" applyNumberFormat="1"/>
    <xf borderId="0" fillId="2" fontId="1" numFmtId="0" xfId="0" applyFont="1"/>
    <xf borderId="0" fillId="2" fontId="6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4" fillId="0" fontId="6" numFmtId="0" xfId="0" applyAlignment="1" applyBorder="1" applyFont="1">
      <alignment horizontal="center" readingOrder="0"/>
    </xf>
    <xf borderId="5" fillId="0" fontId="5" numFmtId="0" xfId="0" applyBorder="1" applyFont="1"/>
    <xf borderId="0" fillId="4" fontId="6" numFmtId="0" xfId="0" applyAlignment="1" applyFont="1">
      <alignment readingOrder="0"/>
    </xf>
    <xf borderId="0" fillId="0" fontId="6" numFmtId="0" xfId="0" applyFont="1"/>
    <xf borderId="0" fillId="0" fontId="6" numFmtId="165" xfId="0" applyFont="1" applyNumberFormat="1"/>
    <xf borderId="0" fillId="4" fontId="6" numFmtId="164" xfId="0" applyFont="1" applyNumberFormat="1"/>
    <xf borderId="0" fillId="4" fontId="6" numFmtId="0" xfId="0" applyFont="1"/>
    <xf borderId="6" fillId="0" fontId="6" numFmtId="0" xfId="0" applyAlignment="1" applyBorder="1" applyFont="1">
      <alignment readingOrder="0"/>
    </xf>
    <xf borderId="6" fillId="4" fontId="6" numFmtId="0" xfId="0" applyAlignment="1" applyBorder="1" applyFont="1">
      <alignment readingOrder="0"/>
    </xf>
    <xf borderId="3" fillId="4" fontId="6" numFmtId="0" xfId="0" applyBorder="1" applyFont="1"/>
    <xf borderId="3" fillId="6" fontId="4" numFmtId="0" xfId="0" applyAlignment="1" applyBorder="1" applyFill="1" applyFont="1">
      <alignment horizontal="right" readingOrder="0"/>
    </xf>
    <xf borderId="3" fillId="6" fontId="4" numFmtId="164" xfId="0" applyBorder="1" applyFont="1" applyNumberFormat="1"/>
    <xf borderId="3" fillId="5" fontId="4" numFmtId="0" xfId="0" applyAlignment="1" applyBorder="1" applyFont="1">
      <alignment horizontal="right" readingOrder="0"/>
    </xf>
    <xf borderId="3" fillId="0" fontId="6" numFmtId="0" xfId="0" applyAlignment="1" applyBorder="1" applyFont="1">
      <alignment readingOrder="0"/>
    </xf>
    <xf borderId="3" fillId="4" fontId="6" numFmtId="164" xfId="0" applyAlignment="1" applyBorder="1" applyFont="1" applyNumberFormat="1">
      <alignment readingOrder="0"/>
    </xf>
    <xf borderId="4" fillId="7" fontId="6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3" fillId="0" fontId="6" numFmtId="0" xfId="0" applyAlignment="1" applyBorder="1" applyFont="1">
      <alignment horizontal="right" readingOrder="0"/>
    </xf>
    <xf borderId="3" fillId="3" fontId="4" numFmtId="0" xfId="0" applyAlignment="1" applyBorder="1" applyFont="1">
      <alignment horizontal="right" readingOrder="0"/>
    </xf>
    <xf borderId="3" fillId="3" fontId="4" numFmtId="10" xfId="0" applyBorder="1" applyFont="1" applyNumberFormat="1"/>
  </cellXfs>
  <cellStyles count="1">
    <cellStyle xfId="0" name="Normal" builtinId="0"/>
  </cellStyles>
  <dxfs count="2"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88"/>
    <col customWidth="1" min="3" max="3" width="47.63"/>
    <col customWidth="1" min="4" max="4" width="4.0"/>
    <col customWidth="1" min="5" max="5" width="34.38"/>
    <col customWidth="1" min="6" max="6" width="41.88"/>
    <col customWidth="1" min="7" max="7" width="4.63"/>
    <col customWidth="1" min="8" max="8" width="28.13"/>
    <col customWidth="1" min="9" max="9" width="1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D3" s="1"/>
      <c r="E3" s="2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3</v>
      </c>
      <c r="C6" s="5"/>
      <c r="D6" s="1"/>
      <c r="E6" s="4" t="s">
        <v>4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5</v>
      </c>
      <c r="C7" s="7">
        <v>400000.0</v>
      </c>
      <c r="D7" s="1"/>
      <c r="E7" s="6" t="s">
        <v>6</v>
      </c>
      <c r="F7" s="7">
        <v>50000.0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8"/>
      <c r="D8" s="1"/>
      <c r="E8" s="6" t="s">
        <v>7</v>
      </c>
      <c r="F8" s="9">
        <f>F7/12</f>
        <v>4166.666667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8</v>
      </c>
      <c r="C9" s="10">
        <v>0.05</v>
      </c>
      <c r="D9" s="1"/>
      <c r="E9" s="11" t="s"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10</v>
      </c>
      <c r="C10" s="9">
        <f>C7*C9</f>
        <v>20000</v>
      </c>
      <c r="D10" s="1"/>
      <c r="E10" s="1"/>
      <c r="F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11</v>
      </c>
      <c r="C11" s="9">
        <f>C7-C10</f>
        <v>380000</v>
      </c>
      <c r="D11" s="1"/>
      <c r="E11" s="4" t="s">
        <v>12</v>
      </c>
      <c r="F11" s="5"/>
      <c r="H11" s="4" t="s">
        <v>13</v>
      </c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14</v>
      </c>
      <c r="C12" s="9">
        <f>C11*0.0175</f>
        <v>6650</v>
      </c>
      <c r="D12" s="1"/>
      <c r="E12" s="6" t="s">
        <v>15</v>
      </c>
      <c r="F12" s="12">
        <v>25.0</v>
      </c>
      <c r="G12" s="1"/>
      <c r="H12" s="6" t="s">
        <v>15</v>
      </c>
      <c r="I12" s="12">
        <v>25.0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 t="s">
        <v>16</v>
      </c>
      <c r="C13" s="9">
        <f>C11+C12</f>
        <v>386650</v>
      </c>
      <c r="D13" s="1"/>
      <c r="E13" s="6" t="s">
        <v>17</v>
      </c>
      <c r="F13" s="13">
        <v>40.0</v>
      </c>
      <c r="G13" s="1"/>
      <c r="H13" s="6" t="s">
        <v>17</v>
      </c>
      <c r="I13" s="13">
        <v>40.0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4"/>
      <c r="C14" s="14"/>
      <c r="D14" s="1"/>
      <c r="E14" s="15" t="s">
        <v>18</v>
      </c>
      <c r="F14" s="9">
        <f>F13*F12*52</f>
        <v>52000</v>
      </c>
      <c r="G14" s="1"/>
      <c r="H14" s="15" t="s">
        <v>18</v>
      </c>
      <c r="I14" s="16">
        <f>I13*I12*52</f>
        <v>52000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 t="s">
        <v>19</v>
      </c>
      <c r="C15" s="5"/>
      <c r="D15" s="1"/>
      <c r="E15" s="15" t="s">
        <v>20</v>
      </c>
      <c r="F15" s="9">
        <f>F14/12</f>
        <v>4333.333333</v>
      </c>
      <c r="G15" s="1"/>
      <c r="H15" s="17" t="s">
        <v>20</v>
      </c>
      <c r="I15" s="18">
        <f>I14/12</f>
        <v>4333.333333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5" t="s">
        <v>21</v>
      </c>
      <c r="D16" s="1"/>
      <c r="E16" s="14"/>
      <c r="F16" s="14"/>
      <c r="G16" s="1"/>
      <c r="H16" s="19" t="s">
        <v>22</v>
      </c>
      <c r="I16" s="20">
        <f>F15+I15</f>
        <v>8666.666667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/>
      <c r="B17" s="22"/>
      <c r="C17" s="23"/>
      <c r="D17" s="21"/>
      <c r="E17" s="24" t="s">
        <v>23</v>
      </c>
      <c r="F17" s="25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"/>
      <c r="B18" s="6" t="s">
        <v>24</v>
      </c>
      <c r="C18" s="10">
        <v>0.07</v>
      </c>
      <c r="D18" s="1"/>
      <c r="E18" s="24" t="s">
        <v>25</v>
      </c>
      <c r="F18" s="2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26</v>
      </c>
      <c r="C19" s="26">
        <v>360.0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2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6" t="s">
        <v>27</v>
      </c>
      <c r="C21" s="28">
        <f>pmt(C18/12, 360, -C13)</f>
        <v>2572.392098</v>
      </c>
      <c r="D21" s="1"/>
      <c r="E21" s="4" t="s">
        <v>28</v>
      </c>
      <c r="F21" s="5"/>
      <c r="G21" s="1"/>
      <c r="H21" s="1"/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" t="s">
        <v>29</v>
      </c>
      <c r="C22" s="9">
        <f>(C7*0.0123)/12</f>
        <v>410</v>
      </c>
      <c r="D22" s="1"/>
      <c r="E22" s="6" t="s">
        <v>30</v>
      </c>
      <c r="F22" s="7">
        <v>0.0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6" t="s">
        <v>31</v>
      </c>
      <c r="C23" s="9">
        <f>(C13*0.0055)/12</f>
        <v>177.2145833</v>
      </c>
      <c r="D23" s="1"/>
      <c r="E23" s="6" t="s">
        <v>32</v>
      </c>
      <c r="F23" s="29">
        <f>I16</f>
        <v>8666.666667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" t="s">
        <v>33</v>
      </c>
      <c r="C24" s="7">
        <v>125.0</v>
      </c>
      <c r="D24" s="1"/>
      <c r="E24" s="15" t="s">
        <v>34</v>
      </c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1" t="s">
        <v>35</v>
      </c>
      <c r="C25" s="32">
        <v>350.0</v>
      </c>
      <c r="D25" s="1"/>
      <c r="E25" s="17" t="s">
        <v>36</v>
      </c>
      <c r="F25" s="3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4" t="s">
        <v>37</v>
      </c>
      <c r="C26" s="35">
        <f>sum(C21:C25)</f>
        <v>3634.606681</v>
      </c>
      <c r="D26" s="1"/>
      <c r="E26" s="36" t="s">
        <v>38</v>
      </c>
      <c r="F26" s="20">
        <f>sum(F21:F25)</f>
        <v>8666.666667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D29" s="1"/>
      <c r="E29" s="4" t="s">
        <v>39</v>
      </c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E30" s="14" t="s">
        <v>40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E31" s="6" t="s">
        <v>41</v>
      </c>
      <c r="F31" s="7">
        <v>400.0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E32" s="6" t="s">
        <v>42</v>
      </c>
      <c r="F32" s="7">
        <v>125.0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E33" s="6" t="s">
        <v>43</v>
      </c>
      <c r="F33" s="7">
        <v>100.0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E34" s="6" t="s">
        <v>44</v>
      </c>
      <c r="F34" s="7">
        <v>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D35" s="1"/>
      <c r="E35" s="6" t="s">
        <v>45</v>
      </c>
      <c r="F35" s="7">
        <v>0.0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D36" s="1"/>
      <c r="E36" s="37" t="s">
        <v>46</v>
      </c>
      <c r="F36" s="38">
        <v>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D37" s="1"/>
      <c r="E37" s="34" t="s">
        <v>47</v>
      </c>
      <c r="F37" s="35">
        <f>sum(F31:F36)</f>
        <v>625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D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D39" s="1"/>
      <c r="E39" s="39" t="s">
        <v>48</v>
      </c>
      <c r="F39" s="2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D40" s="1"/>
      <c r="E40" s="40" t="s">
        <v>49</v>
      </c>
      <c r="F40" s="27" t="str">
        <f>IF($F$45 &lt; 0.4699, "Pass", "Fail")</f>
        <v>Pass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D41" s="1"/>
      <c r="E41" s="40" t="s">
        <v>50</v>
      </c>
      <c r="F41" s="27" t="str">
        <f>IF($F$50 &lt; 0.5699, "Pass", "Fail")</f>
        <v>Pass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D43" s="1"/>
      <c r="E43" s="40" t="s">
        <v>51</v>
      </c>
      <c r="F43" s="9">
        <f>$C$26</f>
        <v>3634.606681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D44" s="1"/>
      <c r="E44" s="41" t="s">
        <v>52</v>
      </c>
      <c r="F44" s="18">
        <f>$F$26</f>
        <v>8666.666667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D45" s="1"/>
      <c r="E45" s="42" t="s">
        <v>53</v>
      </c>
      <c r="F45" s="43">
        <f>F43/F44</f>
        <v>0.419377694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D47" s="1"/>
      <c r="E47" s="40" t="s">
        <v>51</v>
      </c>
      <c r="F47" s="9">
        <f>$C$26</f>
        <v>3634.606681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D48" s="1"/>
      <c r="E48" s="40" t="s">
        <v>52</v>
      </c>
      <c r="F48" s="9">
        <f>$F$26</f>
        <v>8666.666667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D49" s="1"/>
      <c r="E49" s="41" t="s">
        <v>47</v>
      </c>
      <c r="F49" s="18">
        <f>$F$37</f>
        <v>625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D50" s="1"/>
      <c r="E50" s="43" t="s">
        <v>54</v>
      </c>
      <c r="F50" s="43">
        <f>(F47+F49)/F48</f>
        <v>0.4914930786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16">
    <mergeCell ref="B3:C3"/>
    <mergeCell ref="E3:F3"/>
    <mergeCell ref="B4:C4"/>
    <mergeCell ref="E6:F6"/>
    <mergeCell ref="E9:F9"/>
    <mergeCell ref="E11:F11"/>
    <mergeCell ref="H11:I11"/>
    <mergeCell ref="E30:F30"/>
    <mergeCell ref="E39:F39"/>
    <mergeCell ref="B6:C6"/>
    <mergeCell ref="B15:C15"/>
    <mergeCell ref="B16:C16"/>
    <mergeCell ref="E17:F17"/>
    <mergeCell ref="E18:F18"/>
    <mergeCell ref="E21:F21"/>
    <mergeCell ref="E29:F29"/>
  </mergeCells>
  <conditionalFormatting sqref="F40:F41">
    <cfRule type="cellIs" dxfId="0" priority="1" operator="equal">
      <formula>"Fail"</formula>
    </cfRule>
  </conditionalFormatting>
  <conditionalFormatting sqref="F40:F41">
    <cfRule type="cellIs" dxfId="1" priority="2" operator="equal">
      <formula>"Pass"</formula>
    </cfRule>
  </conditionalFormatting>
  <drawing r:id="rId1"/>
</worksheet>
</file>